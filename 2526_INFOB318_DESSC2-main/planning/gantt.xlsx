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cuments\GitHub\2526_INFOB318_DESSC2\planning\"/>
    </mc:Choice>
  </mc:AlternateContent>
  <xr:revisionPtr revIDLastSave="0" documentId="13_ncr:1_{FC7C8985-132A-48DC-A733-41B7EF7ABA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6" i="1"/>
  <c r="C10" i="1"/>
  <c r="C11" i="1"/>
  <c r="C12" i="1"/>
  <c r="C13" i="1"/>
  <c r="C14" i="1"/>
  <c r="C15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Y7" i="1" l="1"/>
  <c r="Z7" i="1"/>
  <c r="E8" i="1" l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P7" i="1"/>
  <c r="P9" i="1"/>
  <c r="L7" i="1"/>
  <c r="L9" i="1"/>
  <c r="N7" i="1"/>
  <c r="N9" i="1"/>
  <c r="Q7" i="1"/>
  <c r="Q9" i="1"/>
  <c r="D7" i="1"/>
  <c r="D9" i="1"/>
  <c r="U7" i="1"/>
  <c r="U9" i="1"/>
  <c r="H7" i="1"/>
  <c r="H9" i="1"/>
  <c r="K7" i="1"/>
  <c r="K9" i="1"/>
  <c r="M7" i="1"/>
  <c r="M9" i="1"/>
  <c r="O7" i="1"/>
  <c r="O9" i="1"/>
  <c r="R7" i="1"/>
  <c r="R9" i="1"/>
  <c r="C9" i="1"/>
  <c r="S7" i="1"/>
  <c r="S9" i="1"/>
  <c r="T7" i="1"/>
  <c r="T9" i="1"/>
  <c r="E7" i="1"/>
  <c r="E9" i="1"/>
  <c r="F7" i="1"/>
  <c r="F9" i="1"/>
  <c r="V7" i="1"/>
  <c r="V9" i="1"/>
  <c r="G7" i="1"/>
  <c r="G9" i="1"/>
  <c r="W7" i="1"/>
  <c r="W9" i="1"/>
  <c r="X7" i="1"/>
  <c r="X9" i="1"/>
  <c r="I7" i="1"/>
  <c r="I9" i="1"/>
  <c r="J7" i="1"/>
  <c r="J9" i="1"/>
</calcChain>
</file>

<file path=xl/sharedStrings.xml><?xml version="1.0" encoding="utf-8"?>
<sst xmlns="http://schemas.openxmlformats.org/spreadsheetml/2006/main" count="39" uniqueCount="36">
  <si>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</si>
  <si>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</si>
  <si>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</si>
  <si>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</si>
  <si>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</si>
  <si>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</si>
  <si>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</si>
  <si>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</si>
  <si>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Tampon de récupération (dodo)</t>
  </si>
  <si>
    <t>Rencontres</t>
  </si>
  <si>
    <t>Lacroix</t>
  </si>
  <si>
    <t>Brian</t>
  </si>
  <si>
    <t>2025/2026</t>
  </si>
  <si>
    <t>DESSC2</t>
  </si>
  <si>
    <t>Recherche React</t>
  </si>
  <si>
    <t>recherche Librairie pour whiteboard</t>
  </si>
  <si>
    <t>apprentissage React</t>
  </si>
  <si>
    <t>Creation d'un site basique en React</t>
  </si>
  <si>
    <t>apprentissage Konva-react</t>
  </si>
  <si>
    <t>ajout contrôle des layers</t>
  </si>
  <si>
    <t>ajout forme basique (carré, rectangle, rond, ovale, segment)</t>
  </si>
  <si>
    <t xml:space="preserve">ajout gomme </t>
  </si>
  <si>
    <t>blocus</t>
  </si>
  <si>
    <t>examen</t>
  </si>
  <si>
    <t>fonction basique du whiteboard (dessin libre, layers, undo par layer, 
opacité trait, couleur trait, taille trait)</t>
  </si>
  <si>
    <t>réglage de bug de version react, konva,… et testing sur un autre pc</t>
  </si>
  <si>
    <t xml:space="preserve">refactorisation du code </t>
  </si>
  <si>
    <t>apprentissage YJS</t>
  </si>
  <si>
    <t>ajout de fonctionnalité en ligne</t>
  </si>
  <si>
    <t>undo par joueur</t>
  </si>
  <si>
    <t>recherche codage event driven</t>
  </si>
  <si>
    <t>modification du site pour une logique event driven</t>
  </si>
  <si>
    <t>testing</t>
  </si>
  <si>
    <t xml:space="preserve">ajout de fonctionnalité de recording </t>
  </si>
  <si>
    <t>documentation (user et programmer)</t>
  </si>
  <si>
    <t>Creation d'un dockerfile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</si>
</sst>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8" xfId="3" applyBorder="1" applyAlignment="1">
      <alignment horizontal="center"/>
    </xf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0" fontId="0" fillId="0" borderId="13" xfId="0" applyBorder="1" applyAlignment="1">
      <alignment wrapText="1"/>
    </xf>
    <xf numFmtId="0" fontId="3" fillId="6" borderId="20" xfId="5" applyFont="1" applyAlignment="1"/>
  </cellXfs>
  <cellStyles count="6">
    <cellStyle name="20 % - Accent1" xfId="1" builtinId="30"/>
    <cellStyle name="60 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topLeftCell="A5" zoomScale="110" zoomScaleNormal="110" workbookViewId="0">
      <selection activeCell="AA29" sqref="AA29"/>
    </sheetView>
  </sheetViews>
  <sheetFormatPr baseColWidth="10" defaultRowHeight="15" x14ac:dyDescent="0.25"/>
  <cols>
    <col min="2" max="2" width="62.7109375" bestFit="1" customWidth="1"/>
    <col min="3" max="3" width="21.7109375" customWidth="1"/>
    <col min="4" max="24" width="8.42578125" bestFit="1" customWidth="1"/>
  </cols>
  <sheetData>
    <row r="2" spans="2:34" ht="21" x14ac:dyDescent="0.35">
      <c r="B2" s="21" t="s">
        <v>3</v>
      </c>
      <c r="C2" s="29" t="s">
        <v>10</v>
      </c>
      <c r="D2" s="29"/>
      <c r="E2" s="29"/>
      <c r="F2" s="29"/>
      <c r="G2" s="29"/>
    </row>
    <row r="3" spans="2:34" ht="21" x14ac:dyDescent="0.35">
      <c r="B3" s="21" t="s">
        <v>4</v>
      </c>
      <c r="C3" s="29" t="s">
        <v>11</v>
      </c>
      <c r="D3" s="29"/>
      <c r="E3" s="29"/>
      <c r="F3" s="29"/>
      <c r="G3" s="29"/>
    </row>
    <row r="4" spans="2:34" ht="21" x14ac:dyDescent="0.35">
      <c r="B4" s="21" t="s">
        <v>5</v>
      </c>
      <c r="C4" s="29" t="s">
        <v>12</v>
      </c>
      <c r="D4" s="29"/>
      <c r="E4" s="29"/>
      <c r="F4" s="29"/>
      <c r="G4" s="29"/>
    </row>
    <row r="5" spans="2:34" ht="21" x14ac:dyDescent="0.35">
      <c r="B5" s="21" t="s">
        <v>6</v>
      </c>
      <c r="C5" s="29" t="s">
        <v>13</v>
      </c>
      <c r="D5" s="29"/>
      <c r="E5" s="29"/>
      <c r="F5" s="29"/>
      <c r="G5" s="29"/>
    </row>
    <row r="6" spans="2:34" ht="15.75" thickBot="1" x14ac:dyDescent="0.3"/>
    <row r="7" spans="2:34" ht="15.75" thickBot="1" x14ac:dyDescent="0.3">
      <c r="C7" s="4" t="s">
        <v>0</v>
      </c>
      <c r="D7" s="19">
        <f>SUM(D11:D36)</f>
        <v>0.5</v>
      </c>
      <c r="E7" s="20">
        <f t="shared" ref="E7:Z7" si="0">SUM(E11:E36)</f>
        <v>4</v>
      </c>
      <c r="F7" s="20">
        <f t="shared" si="0"/>
        <v>4</v>
      </c>
      <c r="G7" s="20">
        <f t="shared" si="0"/>
        <v>8</v>
      </c>
      <c r="H7" s="5">
        <f t="shared" si="0"/>
        <v>4</v>
      </c>
      <c r="I7" s="5">
        <f t="shared" si="0"/>
        <v>14</v>
      </c>
      <c r="J7" s="5">
        <f t="shared" si="0"/>
        <v>15</v>
      </c>
      <c r="K7" s="5">
        <f t="shared" si="0"/>
        <v>4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6.25</v>
      </c>
      <c r="U7" s="6">
        <f t="shared" si="0"/>
        <v>8.25</v>
      </c>
      <c r="V7" s="6">
        <f t="shared" si="0"/>
        <v>12.25</v>
      </c>
      <c r="W7" s="6">
        <f t="shared" si="0"/>
        <v>18.25</v>
      </c>
      <c r="X7" s="6">
        <f t="shared" si="0"/>
        <v>23.2</v>
      </c>
      <c r="Y7" s="6">
        <f t="shared" si="0"/>
        <v>36</v>
      </c>
      <c r="Z7" s="6">
        <f t="shared" si="0"/>
        <v>1.25</v>
      </c>
      <c r="AA7" s="6">
        <f t="shared" ref="AA7:AH7" si="1">SUM(AA11:AA36)</f>
        <v>1.2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.75" thickBot="1" x14ac:dyDescent="0.3">
      <c r="B8" s="24" t="s">
        <v>2</v>
      </c>
      <c r="C8" s="9" t="s">
        <v>1</v>
      </c>
      <c r="D8" s="1">
        <v>45943</v>
      </c>
      <c r="E8" s="2">
        <f>D8+7</f>
        <v>45950</v>
      </c>
      <c r="F8" s="2">
        <f t="shared" ref="F8:Q8" si="2">E8+7</f>
        <v>45957</v>
      </c>
      <c r="G8" s="2">
        <f t="shared" si="2"/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ref="R8" si="3">Q8+7</f>
        <v>46041</v>
      </c>
      <c r="S8" s="3">
        <f t="shared" ref="S8" si="4">R8+7</f>
        <v>46048</v>
      </c>
      <c r="T8" s="3">
        <f t="shared" ref="T8" si="5">S8+7</f>
        <v>46055</v>
      </c>
      <c r="U8" s="3">
        <f t="shared" ref="U8" si="6">T8+7</f>
        <v>46062</v>
      </c>
      <c r="V8" s="3">
        <f t="shared" ref="V8" si="7">U8+7</f>
        <v>46069</v>
      </c>
      <c r="W8" s="3">
        <f t="shared" ref="W8" si="8">V8+7</f>
        <v>46076</v>
      </c>
      <c r="X8" s="3">
        <f t="shared" ref="X8" si="9">W8+7</f>
        <v>46083</v>
      </c>
      <c r="Y8" s="3">
        <f t="shared" ref="Y8" si="10">X8+7</f>
        <v>46090</v>
      </c>
      <c r="Z8" s="3">
        <f t="shared" ref="Z8:AH8" si="11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.75" thickBot="1" x14ac:dyDescent="0.3">
      <c r="B9" s="23" t="s">
        <v>7</v>
      </c>
      <c r="C9" s="22">
        <f>SUM(C10:C46)</f>
        <v>160.15</v>
      </c>
      <c r="D9" s="26">
        <f>SUM(D10:D46)</f>
        <v>0.5</v>
      </c>
      <c r="E9" s="26">
        <f t="shared" ref="E9:Z9" si="12">SUM(E10:E46)</f>
        <v>4</v>
      </c>
      <c r="F9" s="26">
        <f t="shared" si="12"/>
        <v>4</v>
      </c>
      <c r="G9" s="26">
        <f t="shared" si="12"/>
        <v>8</v>
      </c>
      <c r="H9" s="26">
        <f t="shared" si="12"/>
        <v>4</v>
      </c>
      <c r="I9" s="26">
        <f t="shared" si="12"/>
        <v>14</v>
      </c>
      <c r="J9" s="26">
        <f t="shared" si="12"/>
        <v>15</v>
      </c>
      <c r="K9" s="26">
        <f t="shared" si="12"/>
        <v>4</v>
      </c>
      <c r="L9" s="26">
        <f t="shared" si="12"/>
        <v>0</v>
      </c>
      <c r="M9" s="26">
        <f t="shared" si="12"/>
        <v>0</v>
      </c>
      <c r="N9" s="26">
        <f t="shared" si="12"/>
        <v>0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6.25</v>
      </c>
      <c r="U9" s="26">
        <f t="shared" si="12"/>
        <v>8.25</v>
      </c>
      <c r="V9" s="26">
        <f t="shared" si="12"/>
        <v>12.25</v>
      </c>
      <c r="W9" s="26">
        <f t="shared" si="12"/>
        <v>18.25</v>
      </c>
      <c r="X9" s="26">
        <f t="shared" si="12"/>
        <v>23.2</v>
      </c>
      <c r="Y9" s="26">
        <f t="shared" si="12"/>
        <v>36</v>
      </c>
      <c r="Z9" s="26">
        <f t="shared" si="12"/>
        <v>1.25</v>
      </c>
      <c r="AA9" s="26">
        <f t="shared" ref="AA9:AH9" si="13">SUM(AA10:AA46)</f>
        <v>1.2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.75" thickBot="1" x14ac:dyDescent="0.3">
      <c r="B10" s="27" t="s">
        <v>8</v>
      </c>
      <c r="C10" s="25">
        <f>SUM(D10:AH10)</f>
        <v>0</v>
      </c>
      <c r="D10" s="16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22</v>
      </c>
      <c r="O10" s="10" t="s">
        <v>22</v>
      </c>
      <c r="P10" s="10" t="s">
        <v>23</v>
      </c>
      <c r="Q10" s="10" t="s">
        <v>23</v>
      </c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.75" thickBot="1" x14ac:dyDescent="0.3">
      <c r="B11" s="7" t="s">
        <v>9</v>
      </c>
      <c r="C11" s="25">
        <f t="shared" ref="C11:C46" si="14">SUM(D11:AH11)</f>
        <v>2.15</v>
      </c>
      <c r="D11" s="17">
        <v>0.5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0.25</v>
      </c>
      <c r="U11" s="12">
        <v>0.25</v>
      </c>
      <c r="V11" s="12">
        <v>0.25</v>
      </c>
      <c r="W11" s="12">
        <v>0.25</v>
      </c>
      <c r="X11" s="12">
        <v>0.2</v>
      </c>
      <c r="Y11" s="12"/>
      <c r="Z11" s="13">
        <v>0.25</v>
      </c>
      <c r="AA11" s="13">
        <v>0.2</v>
      </c>
      <c r="AB11" s="13"/>
      <c r="AC11" s="13"/>
      <c r="AD11" s="13"/>
      <c r="AE11" s="13"/>
      <c r="AF11" s="13"/>
      <c r="AG11" s="13"/>
      <c r="AH11" s="13"/>
    </row>
    <row r="12" spans="2:34" ht="15.75" thickBot="1" x14ac:dyDescent="0.3">
      <c r="B12" s="7" t="s">
        <v>14</v>
      </c>
      <c r="C12" s="25">
        <f t="shared" si="14"/>
        <v>2</v>
      </c>
      <c r="D12" s="17"/>
      <c r="E12" s="12">
        <v>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.75" thickBot="1" x14ac:dyDescent="0.3">
      <c r="B13" s="7" t="s">
        <v>15</v>
      </c>
      <c r="C13" s="25">
        <f t="shared" si="14"/>
        <v>2</v>
      </c>
      <c r="D13" s="17"/>
      <c r="E13" s="12">
        <v>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.75" thickBot="1" x14ac:dyDescent="0.3">
      <c r="B14" s="7" t="s">
        <v>16</v>
      </c>
      <c r="C14" s="25">
        <f t="shared" si="14"/>
        <v>14</v>
      </c>
      <c r="D14" s="17"/>
      <c r="E14" s="12"/>
      <c r="F14" s="12">
        <v>4</v>
      </c>
      <c r="G14" s="12">
        <v>4</v>
      </c>
      <c r="H14" s="12">
        <v>4</v>
      </c>
      <c r="I14" s="12">
        <v>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.75" thickBot="1" x14ac:dyDescent="0.3">
      <c r="B15" s="7" t="s">
        <v>17</v>
      </c>
      <c r="C15" s="25">
        <f t="shared" si="14"/>
        <v>8</v>
      </c>
      <c r="D15" s="17"/>
      <c r="E15" s="12"/>
      <c r="F15" s="12"/>
      <c r="G15" s="12">
        <v>4</v>
      </c>
      <c r="H15" s="12"/>
      <c r="I15" s="12"/>
      <c r="J15" s="12"/>
      <c r="K15" s="12">
        <v>4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.75" thickBot="1" x14ac:dyDescent="0.3">
      <c r="B16" s="7" t="s">
        <v>18</v>
      </c>
      <c r="C16" s="25">
        <f>SUM(D16:AH16)</f>
        <v>8</v>
      </c>
      <c r="D16" s="17"/>
      <c r="E16" s="12"/>
      <c r="F16" s="12"/>
      <c r="G16" s="12"/>
      <c r="H16" s="12"/>
      <c r="I16" s="12">
        <v>5</v>
      </c>
      <c r="J16" s="12">
        <v>3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30.75" thickBot="1" x14ac:dyDescent="0.3">
      <c r="B17" s="28" t="s">
        <v>24</v>
      </c>
      <c r="C17" s="25">
        <f t="shared" si="14"/>
        <v>7</v>
      </c>
      <c r="D17" s="17"/>
      <c r="E17" s="12"/>
      <c r="F17" s="12"/>
      <c r="G17" s="12"/>
      <c r="H17" s="12"/>
      <c r="I17" s="12">
        <v>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.75" thickBot="1" x14ac:dyDescent="0.3">
      <c r="B18" s="7" t="s">
        <v>19</v>
      </c>
      <c r="C18" s="25">
        <f t="shared" si="14"/>
        <v>3</v>
      </c>
      <c r="D18" s="17"/>
      <c r="E18" s="12"/>
      <c r="F18" s="12"/>
      <c r="G18" s="12"/>
      <c r="H18" s="12"/>
      <c r="I18" s="12"/>
      <c r="J18" s="12">
        <v>3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.75" thickBot="1" x14ac:dyDescent="0.3">
      <c r="B19" s="7" t="s">
        <v>20</v>
      </c>
      <c r="C19" s="25">
        <f t="shared" si="14"/>
        <v>5</v>
      </c>
      <c r="D19" s="17"/>
      <c r="E19" s="12"/>
      <c r="F19" s="12"/>
      <c r="G19" s="12"/>
      <c r="H19" s="12"/>
      <c r="I19" s="12"/>
      <c r="J19" s="12">
        <v>5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.75" thickBot="1" x14ac:dyDescent="0.3">
      <c r="B20" s="7" t="s">
        <v>21</v>
      </c>
      <c r="C20" s="25">
        <f t="shared" si="14"/>
        <v>4</v>
      </c>
      <c r="D20" s="17"/>
      <c r="E20" s="12"/>
      <c r="F20" s="12"/>
      <c r="G20" s="12"/>
      <c r="H20" s="12"/>
      <c r="I20" s="12"/>
      <c r="J20" s="12">
        <v>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.75" thickBot="1" x14ac:dyDescent="0.3">
      <c r="B21" s="7" t="s">
        <v>25</v>
      </c>
      <c r="C21" s="25">
        <f t="shared" si="14"/>
        <v>8</v>
      </c>
      <c r="D21" s="17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T21" s="12">
        <v>6</v>
      </c>
      <c r="U21" s="12"/>
      <c r="V21" s="12"/>
      <c r="W21" s="12">
        <v>2</v>
      </c>
      <c r="X21" s="12"/>
      <c r="Y21" s="12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2:34" ht="15.75" thickBot="1" x14ac:dyDescent="0.3">
      <c r="B22" s="7" t="s">
        <v>26</v>
      </c>
      <c r="C22" s="25">
        <f t="shared" si="14"/>
        <v>16</v>
      </c>
      <c r="D22" s="17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>
        <v>8</v>
      </c>
      <c r="V22" s="12">
        <v>8</v>
      </c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.75" thickBot="1" x14ac:dyDescent="0.3">
      <c r="B23" s="7" t="s">
        <v>27</v>
      </c>
      <c r="C23" s="25">
        <f t="shared" si="14"/>
        <v>12</v>
      </c>
      <c r="D23" s="17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>
        <v>4</v>
      </c>
      <c r="W23" s="12">
        <v>8</v>
      </c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.75" thickBot="1" x14ac:dyDescent="0.3">
      <c r="B24" s="7" t="s">
        <v>28</v>
      </c>
      <c r="C24" s="25">
        <f t="shared" si="14"/>
        <v>8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>
        <v>8</v>
      </c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.75" thickBot="1" x14ac:dyDescent="0.3">
      <c r="B25" s="7" t="s">
        <v>29</v>
      </c>
      <c r="C25" s="25">
        <f t="shared" si="14"/>
        <v>8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8</v>
      </c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.75" thickBot="1" x14ac:dyDescent="0.3">
      <c r="B26" s="7" t="s">
        <v>30</v>
      </c>
      <c r="C26" s="25">
        <f t="shared" si="14"/>
        <v>5</v>
      </c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>
        <v>5</v>
      </c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.75" thickBot="1" x14ac:dyDescent="0.3">
      <c r="B27" s="7" t="s">
        <v>31</v>
      </c>
      <c r="C27" s="25">
        <f t="shared" si="14"/>
        <v>20</v>
      </c>
      <c r="D27" s="17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10</v>
      </c>
      <c r="Y27" s="12">
        <v>10</v>
      </c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.75" thickBot="1" x14ac:dyDescent="0.3">
      <c r="B28" s="7" t="s">
        <v>32</v>
      </c>
      <c r="C28" s="25">
        <f t="shared" si="14"/>
        <v>10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>
        <v>10</v>
      </c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.75" thickBot="1" x14ac:dyDescent="0.3">
      <c r="B29" s="7" t="s">
        <v>33</v>
      </c>
      <c r="C29" s="25">
        <f t="shared" si="14"/>
        <v>10</v>
      </c>
      <c r="D29" s="1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>
        <v>10</v>
      </c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ht="15.75" thickBot="1" x14ac:dyDescent="0.3">
      <c r="B30" s="7" t="s">
        <v>34</v>
      </c>
      <c r="C30" s="25">
        <f t="shared" si="14"/>
        <v>7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>
        <v>6</v>
      </c>
      <c r="Z30" s="13"/>
      <c r="AA30" s="13">
        <v>1</v>
      </c>
      <c r="AB30" s="13"/>
      <c r="AC30" s="13"/>
      <c r="AD30" s="13"/>
      <c r="AE30" s="13"/>
      <c r="AF30" s="13"/>
      <c r="AG30" s="13"/>
      <c r="AH30" s="13"/>
    </row>
    <row r="31" spans="2:34" ht="15.75" thickBot="1" x14ac:dyDescent="0.3">
      <c r="B31" s="7" t="s">
        <v>35</v>
      </c>
      <c r="C31" s="25">
        <f t="shared" si="14"/>
        <v>1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>
        <v>1</v>
      </c>
      <c r="AA31" s="13"/>
      <c r="AB31" s="13"/>
      <c r="AC31" s="13"/>
      <c r="AD31" s="13"/>
      <c r="AE31" s="13"/>
      <c r="AF31" s="13"/>
      <c r="AG31" s="13"/>
      <c r="AH31" s="13"/>
    </row>
    <row r="32" spans="2:34" ht="15.75" thickBot="1" x14ac:dyDescent="0.3">
      <c r="B32" s="7"/>
      <c r="C32" s="25">
        <f t="shared" si="14"/>
        <v>0</v>
      </c>
      <c r="D32" s="1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ht="15.75" thickBot="1" x14ac:dyDescent="0.3">
      <c r="B33" s="7"/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.75" thickBot="1" x14ac:dyDescent="0.3">
      <c r="B34" s="7"/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.75" thickBot="1" x14ac:dyDescent="0.3">
      <c r="B35" s="8"/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.75" thickBot="1" x14ac:dyDescent="0.3">
      <c r="B36" s="7"/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.75" thickBot="1" x14ac:dyDescent="0.3">
      <c r="B37" s="7"/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.75" thickBot="1" x14ac:dyDescent="0.3">
      <c r="B38" s="7"/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.75" thickBot="1" x14ac:dyDescent="0.3">
      <c r="B39" s="7"/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.75" thickBot="1" x14ac:dyDescent="0.3">
      <c r="B40" s="7"/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.75" thickBot="1" x14ac:dyDescent="0.3">
      <c r="B41" s="7"/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.75" thickBot="1" x14ac:dyDescent="0.3">
      <c r="B42" s="7"/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.75" thickBot="1" x14ac:dyDescent="0.3">
      <c r="B43" s="7"/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.75" thickBot="1" x14ac:dyDescent="0.3">
      <c r="B44" s="7"/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.75" thickBot="1" x14ac:dyDescent="0.3">
      <c r="B45" s="7"/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.75" thickBot="1" x14ac:dyDescent="0.3">
      <c r="B46" s="8"/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1:P18 D21:P29 D19:H20 J19:P20">
    <cfRule type="colorScale" priority="79">
      <colorScale>
        <cfvo type="min"/>
        <cfvo type="max"/>
        <color rgb="FFFFEF9C"/>
        <color rgb="FF63BE7B"/>
      </colorScale>
    </cfRule>
  </conditionalFormatting>
  <conditionalFormatting sqref="D30:P30">
    <cfRule type="colorScale" priority="72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68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64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60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56">
      <colorScale>
        <cfvo type="min"/>
        <cfvo type="max"/>
        <color rgb="FFFFEF9C"/>
        <color rgb="FF63BE7B"/>
      </colorScale>
    </cfRule>
  </conditionalFormatting>
  <conditionalFormatting sqref="D10:Q10 Q11:Q29">
    <cfRule type="colorScale" priority="76">
      <colorScale>
        <cfvo type="min"/>
        <cfvo type="max"/>
        <color rgb="FFFFEF9C"/>
        <color rgb="FF63BE7B"/>
      </colorScale>
    </cfRule>
  </conditionalFormatting>
  <conditionalFormatting sqref="D9:AH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D10:AH20 D22:V22 X22:AH22 D23:AH46 D21:R21 T21:AH21">
    <cfRule type="colorScale" priority="2">
      <colorScale>
        <cfvo type="min"/>
        <cfvo type="max"/>
        <color rgb="FFFCFCFF"/>
        <color rgb="FF63BE7B"/>
      </colorScale>
    </cfRule>
  </conditionalFormatting>
  <conditionalFormatting sqref="Q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66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Q41">
    <cfRule type="colorScale" priority="58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R10:Z20 R22:V22 X22:Z22 R23:Z29 R21 T21:Z21">
    <cfRule type="colorScale" priority="75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69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65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61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57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53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52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51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50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49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48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47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46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45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44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41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40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39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38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37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36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35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34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33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32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31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30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29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28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27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26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25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24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23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22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20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19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18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1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16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15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14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13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12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11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10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9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8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7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6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5">
      <colorScale>
        <cfvo type="min"/>
        <cfvo type="max"/>
        <color rgb="FFFFEF9C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Brian LACROIX</cp:lastModifiedBy>
  <cp:lastPrinted>2025-12-08T02:58:35Z</cp:lastPrinted>
  <dcterms:created xsi:type="dcterms:W3CDTF">2014-09-24T08:15:10Z</dcterms:created>
  <dcterms:modified xsi:type="dcterms:W3CDTF">2026-03-23T18:59:47Z</dcterms:modified>
</cp:coreProperties>
</file>